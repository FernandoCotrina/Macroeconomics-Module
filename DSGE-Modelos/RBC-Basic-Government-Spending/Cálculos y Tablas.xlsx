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75753009abf426/Escritorio/sd-capcha/UDEP/2024/CICLO VI/CRECIMIENTO Y FLUCTUACIONES/Trabajos/TRABAJO CYF/TRABAJO FINAL CYF/"/>
    </mc:Choice>
  </mc:AlternateContent>
  <xr:revisionPtr revIDLastSave="19" documentId="8_{AA6E1FB5-9E7A-4C9D-AADB-470F418B4466}" xr6:coauthVersionLast="47" xr6:coauthVersionMax="47" xr10:uidLastSave="{834F67CD-28D2-4AE1-A361-7729D1E47C9C}"/>
  <bookViews>
    <workbookView xWindow="-120" yWindow="-120" windowWidth="20730" windowHeight="11160" xr2:uid="{36EE3ACE-A429-4F6C-AD80-2A95858EE6A8}"/>
  </bookViews>
  <sheets>
    <sheet name="Cálculo de SS" sheetId="4" r:id="rId1"/>
    <sheet name="Tabla 1" sheetId="1" r:id="rId2"/>
    <sheet name="Tabla 2" sheetId="3" r:id="rId3"/>
    <sheet name="Tabla 3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N16" i="2"/>
  <c r="L16" i="2"/>
  <c r="F16" i="2"/>
  <c r="H16" i="2" s="1"/>
  <c r="P16" i="2" l="1"/>
  <c r="K7" i="4"/>
  <c r="M20" i="4"/>
  <c r="F14" i="2"/>
  <c r="L14" i="2" s="1"/>
  <c r="N15" i="2"/>
  <c r="L15" i="2"/>
  <c r="J15" i="2"/>
  <c r="H15" i="2"/>
  <c r="F10" i="4"/>
  <c r="G10" i="4" s="1"/>
  <c r="H10" i="4" s="1"/>
  <c r="I10" i="4" s="1"/>
  <c r="D10" i="4"/>
  <c r="D7" i="4"/>
  <c r="F10" i="2"/>
  <c r="G11" i="1"/>
  <c r="G19" i="1"/>
  <c r="G18" i="1"/>
  <c r="G13" i="1"/>
  <c r="G12" i="1"/>
  <c r="N14" i="2" l="1"/>
  <c r="P14" i="2" s="1"/>
  <c r="H14" i="2"/>
  <c r="J14" i="2"/>
  <c r="K10" i="4"/>
  <c r="L10" i="4" s="1"/>
  <c r="J10" i="4"/>
  <c r="E7" i="4"/>
  <c r="P15" i="2"/>
  <c r="F7" i="4" l="1"/>
  <c r="G7" i="4" s="1"/>
  <c r="I7" i="4" s="1"/>
  <c r="J7" i="4" s="1"/>
  <c r="H7" i="4" l="1"/>
</calcChain>
</file>

<file path=xl/sharedStrings.xml><?xml version="1.0" encoding="utf-8"?>
<sst xmlns="http://schemas.openxmlformats.org/spreadsheetml/2006/main" count="137" uniqueCount="71">
  <si>
    <t>Producción</t>
  </si>
  <si>
    <t>Consumo</t>
  </si>
  <si>
    <t>Inversión</t>
  </si>
  <si>
    <t>1. Encuesta de Hogares</t>
  </si>
  <si>
    <t xml:space="preserve">    (Todas las Industria)</t>
  </si>
  <si>
    <t>Variable</t>
  </si>
  <si>
    <t>j</t>
  </si>
  <si>
    <t>% S.D.</t>
  </si>
  <si>
    <t>Variable vs. Output</t>
  </si>
  <si>
    <t>Horas vs. Productividad</t>
  </si>
  <si>
    <t>y</t>
  </si>
  <si>
    <t>c</t>
  </si>
  <si>
    <t>i</t>
  </si>
  <si>
    <t>h</t>
  </si>
  <si>
    <t>w</t>
  </si>
  <si>
    <t>Labor Markets:</t>
  </si>
  <si>
    <t xml:space="preserve">              Productividad</t>
  </si>
  <si>
    <t>Propiedades Cíclicas de las Series Temporales de España | 1950  -  2019</t>
  </si>
  <si>
    <t>---</t>
  </si>
  <si>
    <t>Serie de Datos</t>
  </si>
  <si>
    <t>Fuente: Elaboración Propia con datos de Penn World Table</t>
  </si>
  <si>
    <t>Tabla 1:</t>
  </si>
  <si>
    <t>Tabla 2:</t>
  </si>
  <si>
    <t>Resultados de la Calibración</t>
  </si>
  <si>
    <t>Parámetro</t>
  </si>
  <si>
    <t>Nombre</t>
  </si>
  <si>
    <t>Resultado</t>
  </si>
  <si>
    <t>Participación del Capital</t>
  </si>
  <si>
    <t>Participación del Trabajo</t>
  </si>
  <si>
    <t>Tasa de Depreciación</t>
  </si>
  <si>
    <t>Factor de Descuento</t>
  </si>
  <si>
    <t>Preferencia sobre el ocio</t>
  </si>
  <si>
    <t>Proporción del gasto gubernamental</t>
  </si>
  <si>
    <t>en el PIB</t>
  </si>
  <si>
    <t>Persistencia del Shock Tecnológico</t>
  </si>
  <si>
    <t>Amplitud del Shock Tecnológico</t>
  </si>
  <si>
    <t>Persistencia del Shock de Gasto</t>
  </si>
  <si>
    <t>Tabla 3:</t>
  </si>
  <si>
    <t>Horas</t>
  </si>
  <si>
    <t>Productividad</t>
  </si>
  <si>
    <t>Horas Trabajadas</t>
  </si>
  <si>
    <t>Modelos:</t>
  </si>
  <si>
    <t>Estándar</t>
  </si>
  <si>
    <t>Gasto de Gobierno</t>
  </si>
  <si>
    <t xml:space="preserve">           Horas Trabajadas</t>
  </si>
  <si>
    <t>Tipo de data o Modelo</t>
  </si>
  <si>
    <t>de Producción</t>
  </si>
  <si>
    <t>Propiedades Cíclicas de las Series Temporales de España por Modelo | 1950  -  2019</t>
  </si>
  <si>
    <t>θ</t>
  </si>
  <si>
    <t>labs</t>
  </si>
  <si>
    <t>δ</t>
  </si>
  <si>
    <t>β</t>
  </si>
  <si>
    <t>ρ</t>
  </si>
  <si>
    <t>σ_e</t>
  </si>
  <si>
    <t>λ</t>
  </si>
  <si>
    <t>σ_μ</t>
  </si>
  <si>
    <t>g_bar</t>
  </si>
  <si>
    <t>Amplitud del Shock de Gasto</t>
  </si>
  <si>
    <t>y/k</t>
  </si>
  <si>
    <t>c/k</t>
  </si>
  <si>
    <t>k</t>
  </si>
  <si>
    <t>SS</t>
  </si>
  <si>
    <t>Modelo Estándar</t>
  </si>
  <si>
    <t>Modelo Extendido</t>
  </si>
  <si>
    <t>g_barra</t>
  </si>
  <si>
    <t>g/k</t>
  </si>
  <si>
    <t>Parámetros</t>
  </si>
  <si>
    <t>A1</t>
  </si>
  <si>
    <t>Gasto de Gobierno (just g)</t>
  </si>
  <si>
    <r>
      <t xml:space="preserve">       En dynare:</t>
    </r>
    <r>
      <rPr>
        <i/>
        <sz val="9"/>
        <color theme="1"/>
        <rFont val="Times New Roman"/>
        <family val="1"/>
      </rPr>
      <t xml:space="preserve"> "var u; stderr sigma_u;"</t>
    </r>
  </si>
  <si>
    <r>
      <t xml:space="preserve">       En dynare:</t>
    </r>
    <r>
      <rPr>
        <i/>
        <sz val="9"/>
        <color theme="1"/>
        <rFont val="Times New Roman"/>
        <family val="1"/>
      </rPr>
      <t xml:space="preserve"> "var e; stderr sigma_e; var u; stderr sigma_u;"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</si>
</sst>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2" fontId="2" fillId="0" borderId="0" xfId="0" applyNumberFormat="1" applyFont="1"/>
    <xf numFmtId="2" fontId="2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left" vertical="center"/>
    </xf>
    <xf numFmtId="2" fontId="3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3" xfId="0" quotePrefix="1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2" fillId="0" borderId="0" xfId="0" quotePrefix="1" applyNumberFormat="1" applyFont="1" applyAlignment="1">
      <alignment horizontal="center"/>
    </xf>
    <xf numFmtId="2" fontId="3" fillId="0" borderId="1" xfId="0" applyNumberFormat="1" applyFont="1" applyBorder="1" applyAlignment="1">
      <alignment horizontal="left"/>
    </xf>
    <xf numFmtId="2" fontId="2" fillId="0" borderId="8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2" fontId="3" fillId="0" borderId="2" xfId="0" applyNumberFormat="1" applyFont="1" applyBorder="1" applyAlignment="1">
      <alignment horizontal="left"/>
    </xf>
    <xf numFmtId="2" fontId="3" fillId="0" borderId="2" xfId="0" applyNumberFormat="1" applyFont="1" applyBorder="1"/>
    <xf numFmtId="2" fontId="3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4" fillId="0" borderId="0" xfId="0" applyFont="1"/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1" fillId="0" borderId="2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1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295275</xdr:colOff>
      <xdr:row>7</xdr:row>
      <xdr:rowOff>4762</xdr:rowOff>
    </xdr:from>
    <xdr:ext cx="14472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E30F87A-1305-CE7B-2C32-418B4E15801A}"/>
                </a:ext>
              </a:extLst>
            </xdr:cNvPr>
            <xdr:cNvSpPr txBox="1"/>
          </xdr:nvSpPr>
          <xdr:spPr>
            <a:xfrm>
              <a:off x="5629275" y="1147762"/>
              <a:ext cx="1447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E30F87A-1305-CE7B-2C32-418B4E15801A}"/>
                </a:ext>
              </a:extLst>
            </xdr:cNvPr>
            <xdr:cNvSpPr txBox="1"/>
          </xdr:nvSpPr>
          <xdr:spPr>
            <a:xfrm>
              <a:off x="5629275" y="1147762"/>
              <a:ext cx="1447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PE" sz="1100" b="0" i="0" kern="1200">
                  <a:latin typeface="Cambria Math" panose="02040503050406030204" pitchFamily="18" charset="0"/>
                </a:rPr>
                <a:t>𝜎_𝑖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7</xdr:col>
      <xdr:colOff>228599</xdr:colOff>
      <xdr:row>7</xdr:row>
      <xdr:rowOff>14286</xdr:rowOff>
    </xdr:from>
    <xdr:ext cx="33337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B558A1C-27F4-4519-8DA7-E1E15F99F6CA}"/>
                </a:ext>
              </a:extLst>
            </xdr:cNvPr>
            <xdr:cNvSpPr txBox="1"/>
          </xdr:nvSpPr>
          <xdr:spPr>
            <a:xfrm>
              <a:off x="7086599" y="1157286"/>
              <a:ext cx="33337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B558A1C-27F4-4519-8DA7-E1E15F99F6CA}"/>
                </a:ext>
              </a:extLst>
            </xdr:cNvPr>
            <xdr:cNvSpPr txBox="1"/>
          </xdr:nvSpPr>
          <xdr:spPr>
            <a:xfrm>
              <a:off x="7086599" y="1157286"/>
              <a:ext cx="33337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 kern="1200">
                  <a:latin typeface="Cambria Math" panose="02040503050406030204" pitchFamily="18" charset="0"/>
                </a:rPr>
                <a:t>𝜎_𝑗/𝜎_𝑦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8</xdr:col>
      <xdr:colOff>123824</xdr:colOff>
      <xdr:row>7</xdr:row>
      <xdr:rowOff>23811</xdr:rowOff>
    </xdr:from>
    <xdr:ext cx="54292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1225D76-0341-4C94-9A20-0EB87961BC95}"/>
                </a:ext>
              </a:extLst>
            </xdr:cNvPr>
            <xdr:cNvSpPr txBox="1"/>
          </xdr:nvSpPr>
          <xdr:spPr>
            <a:xfrm>
              <a:off x="8505824" y="1166811"/>
              <a:ext cx="5429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𝑐𝑜𝑟</m:t>
                    </m:r>
                    <m:d>
                      <m:d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1225D76-0341-4C94-9A20-0EB87961BC95}"/>
                </a:ext>
              </a:extLst>
            </xdr:cNvPr>
            <xdr:cNvSpPr txBox="1"/>
          </xdr:nvSpPr>
          <xdr:spPr>
            <a:xfrm>
              <a:off x="8505824" y="1166811"/>
              <a:ext cx="5429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 kern="1200">
                  <a:latin typeface="Cambria Math" panose="02040503050406030204" pitchFamily="18" charset="0"/>
                </a:rPr>
                <a:t>𝑐𝑜𝑟(𝑗,𝑦)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9</xdr:col>
      <xdr:colOff>228599</xdr:colOff>
      <xdr:row>7</xdr:row>
      <xdr:rowOff>4761</xdr:rowOff>
    </xdr:from>
    <xdr:ext cx="41910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53E65EAE-867E-4837-AD63-2F1624FE3CCE}"/>
                </a:ext>
              </a:extLst>
            </xdr:cNvPr>
            <xdr:cNvSpPr txBox="1"/>
          </xdr:nvSpPr>
          <xdr:spPr>
            <a:xfrm>
              <a:off x="6848474" y="1166811"/>
              <a:ext cx="4191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53E65EAE-867E-4837-AD63-2F1624FE3CCE}"/>
                </a:ext>
              </a:extLst>
            </xdr:cNvPr>
            <xdr:cNvSpPr txBox="1"/>
          </xdr:nvSpPr>
          <xdr:spPr>
            <a:xfrm>
              <a:off x="6848474" y="1166811"/>
              <a:ext cx="4191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 kern="1200">
                  <a:latin typeface="Cambria Math" panose="02040503050406030204" pitchFamily="18" charset="0"/>
                </a:rPr>
                <a:t>𝜎_ℎ/𝜎_𝑤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11</xdr:col>
      <xdr:colOff>104774</xdr:colOff>
      <xdr:row>7</xdr:row>
      <xdr:rowOff>4761</xdr:rowOff>
    </xdr:from>
    <xdr:ext cx="54292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6D077AD-531D-4828-8D5A-CFD18E54DC56}"/>
                </a:ext>
              </a:extLst>
            </xdr:cNvPr>
            <xdr:cNvSpPr txBox="1"/>
          </xdr:nvSpPr>
          <xdr:spPr>
            <a:xfrm>
              <a:off x="7677149" y="1166811"/>
              <a:ext cx="5429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𝑐𝑜𝑟</m:t>
                    </m:r>
                    <m:d>
                      <m:d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6D077AD-531D-4828-8D5A-CFD18E54DC56}"/>
                </a:ext>
              </a:extLst>
            </xdr:cNvPr>
            <xdr:cNvSpPr txBox="1"/>
          </xdr:nvSpPr>
          <xdr:spPr>
            <a:xfrm>
              <a:off x="7677149" y="1166811"/>
              <a:ext cx="5429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100" b="0" i="0" kern="1200">
                  <a:latin typeface="Cambria Math" panose="02040503050406030204" pitchFamily="18" charset="0"/>
                </a:rPr>
                <a:t>𝑐𝑜𝑟(𝑗,𝑦)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5</xdr:col>
      <xdr:colOff>314325</xdr:colOff>
      <xdr:row>22</xdr:row>
      <xdr:rowOff>0</xdr:rowOff>
    </xdr:from>
    <xdr:ext cx="10983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678F32B-D12E-4CD3-BE12-93025CF7258E}"/>
                </a:ext>
              </a:extLst>
            </xdr:cNvPr>
            <xdr:cNvSpPr txBox="1"/>
          </xdr:nvSpPr>
          <xdr:spPr>
            <a:xfrm>
              <a:off x="3697605" y="4691062"/>
              <a:ext cx="10983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0678F32B-D12E-4CD3-BE12-93025CF7258E}"/>
                </a:ext>
              </a:extLst>
            </xdr:cNvPr>
            <xdr:cNvSpPr txBox="1"/>
          </xdr:nvSpPr>
          <xdr:spPr>
            <a:xfrm>
              <a:off x="3697605" y="4691062"/>
              <a:ext cx="10983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𝜃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5</xdr:col>
      <xdr:colOff>306705</xdr:colOff>
      <xdr:row>22</xdr:row>
      <xdr:rowOff>0</xdr:rowOff>
    </xdr:from>
    <xdr:ext cx="11522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9E3A0586-BDAE-4401-BD24-ABDD4835B786}"/>
                </a:ext>
              </a:extLst>
            </xdr:cNvPr>
            <xdr:cNvSpPr txBox="1"/>
          </xdr:nvSpPr>
          <xdr:spPr>
            <a:xfrm>
              <a:off x="3689985" y="4870132"/>
              <a:ext cx="1152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9E3A0586-BDAE-4401-BD24-ABDD4835B786}"/>
                </a:ext>
              </a:extLst>
            </xdr:cNvPr>
            <xdr:cNvSpPr txBox="1"/>
          </xdr:nvSpPr>
          <xdr:spPr>
            <a:xfrm>
              <a:off x="3689985" y="4870132"/>
              <a:ext cx="1152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𝛼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5</xdr:col>
      <xdr:colOff>300990</xdr:colOff>
      <xdr:row>22</xdr:row>
      <xdr:rowOff>0</xdr:rowOff>
    </xdr:from>
    <xdr:ext cx="10772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F414D819-99C2-4D8F-9DB4-D46170B85E4F}"/>
                </a:ext>
              </a:extLst>
            </xdr:cNvPr>
            <xdr:cNvSpPr txBox="1"/>
          </xdr:nvSpPr>
          <xdr:spPr>
            <a:xfrm>
              <a:off x="3684270" y="5067300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𝛿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F414D819-99C2-4D8F-9DB4-D46170B85E4F}"/>
                </a:ext>
              </a:extLst>
            </xdr:cNvPr>
            <xdr:cNvSpPr txBox="1"/>
          </xdr:nvSpPr>
          <xdr:spPr>
            <a:xfrm>
              <a:off x="3684270" y="5067300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𝛿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5</xdr:col>
      <xdr:colOff>303105</xdr:colOff>
      <xdr:row>22</xdr:row>
      <xdr:rowOff>0</xdr:rowOff>
    </xdr:from>
    <xdr:ext cx="11612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D0ECCF5-DC5E-46C6-BE71-30F29C5040FE}"/>
                </a:ext>
              </a:extLst>
            </xdr:cNvPr>
            <xdr:cNvSpPr txBox="1"/>
          </xdr:nvSpPr>
          <xdr:spPr>
            <a:xfrm>
              <a:off x="3678148" y="5302486"/>
              <a:ext cx="1161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0D0ECCF5-DC5E-46C6-BE71-30F29C5040FE}"/>
                </a:ext>
              </a:extLst>
            </xdr:cNvPr>
            <xdr:cNvSpPr txBox="1"/>
          </xdr:nvSpPr>
          <xdr:spPr>
            <a:xfrm>
              <a:off x="3678148" y="5302486"/>
              <a:ext cx="1161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𝛽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5</xdr:col>
      <xdr:colOff>264959</xdr:colOff>
      <xdr:row>22</xdr:row>
      <xdr:rowOff>0</xdr:rowOff>
    </xdr:from>
    <xdr:ext cx="21941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B352D73F-280F-406F-ABC6-AD1919AA6E52}"/>
                </a:ext>
              </a:extLst>
            </xdr:cNvPr>
            <xdr:cNvSpPr txBox="1"/>
          </xdr:nvSpPr>
          <xdr:spPr>
            <a:xfrm>
              <a:off x="3657505" y="6407149"/>
              <a:ext cx="21941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𝑠𝑡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B352D73F-280F-406F-ABC6-AD1919AA6E52}"/>
                </a:ext>
              </a:extLst>
            </xdr:cNvPr>
            <xdr:cNvSpPr txBox="1"/>
          </xdr:nvSpPr>
          <xdr:spPr>
            <a:xfrm>
              <a:off x="3657505" y="6407149"/>
              <a:ext cx="21941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𝐴_𝑠𝑡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5</xdr:col>
      <xdr:colOff>262890</xdr:colOff>
      <xdr:row>22</xdr:row>
      <xdr:rowOff>0</xdr:rowOff>
    </xdr:from>
    <xdr:ext cx="235385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946898E-0EB1-4FAE-AFE0-02234DC512DF}"/>
                </a:ext>
              </a:extLst>
            </xdr:cNvPr>
            <xdr:cNvSpPr txBox="1"/>
          </xdr:nvSpPr>
          <xdr:spPr>
            <a:xfrm>
              <a:off x="3628928" y="7360064"/>
              <a:ext cx="235385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𝑔𝑠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946898E-0EB1-4FAE-AFE0-02234DC512DF}"/>
                </a:ext>
              </a:extLst>
            </xdr:cNvPr>
            <xdr:cNvSpPr txBox="1"/>
          </xdr:nvSpPr>
          <xdr:spPr>
            <a:xfrm>
              <a:off x="3628928" y="7360064"/>
              <a:ext cx="235385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𝐴_𝑔𝑠</a:t>
              </a:r>
              <a:endParaRPr lang="es-PE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314325</xdr:colOff>
      <xdr:row>5</xdr:row>
      <xdr:rowOff>23812</xdr:rowOff>
    </xdr:from>
    <xdr:ext cx="10983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B9AACA2-EBA9-487F-BA67-D5C12D21A075}"/>
                </a:ext>
              </a:extLst>
            </xdr:cNvPr>
            <xdr:cNvSpPr txBox="1"/>
          </xdr:nvSpPr>
          <xdr:spPr>
            <a:xfrm>
              <a:off x="3695700" y="4500562"/>
              <a:ext cx="10983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4B9AACA2-EBA9-487F-BA67-D5C12D21A075}"/>
                </a:ext>
              </a:extLst>
            </xdr:cNvPr>
            <xdr:cNvSpPr txBox="1"/>
          </xdr:nvSpPr>
          <xdr:spPr>
            <a:xfrm>
              <a:off x="3695700" y="4500562"/>
              <a:ext cx="10983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𝜃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306705</xdr:colOff>
      <xdr:row>6</xdr:row>
      <xdr:rowOff>12382</xdr:rowOff>
    </xdr:from>
    <xdr:ext cx="11522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A576FA6-5372-44F4-9776-E66ADFA132F6}"/>
                </a:ext>
              </a:extLst>
            </xdr:cNvPr>
            <xdr:cNvSpPr txBox="1"/>
          </xdr:nvSpPr>
          <xdr:spPr>
            <a:xfrm>
              <a:off x="3688080" y="4679632"/>
              <a:ext cx="1152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A576FA6-5372-44F4-9776-E66ADFA132F6}"/>
                </a:ext>
              </a:extLst>
            </xdr:cNvPr>
            <xdr:cNvSpPr txBox="1"/>
          </xdr:nvSpPr>
          <xdr:spPr>
            <a:xfrm>
              <a:off x="3688080" y="4679632"/>
              <a:ext cx="11522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𝛼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300990</xdr:colOff>
      <xdr:row>7</xdr:row>
      <xdr:rowOff>19050</xdr:rowOff>
    </xdr:from>
    <xdr:ext cx="10772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E89CA21-CB8D-4B56-A8E3-ED3EA76572E4}"/>
                </a:ext>
              </a:extLst>
            </xdr:cNvPr>
            <xdr:cNvSpPr txBox="1"/>
          </xdr:nvSpPr>
          <xdr:spPr>
            <a:xfrm>
              <a:off x="3682365" y="4876800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𝛿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E89CA21-CB8D-4B56-A8E3-ED3EA76572E4}"/>
                </a:ext>
              </a:extLst>
            </xdr:cNvPr>
            <xdr:cNvSpPr txBox="1"/>
          </xdr:nvSpPr>
          <xdr:spPr>
            <a:xfrm>
              <a:off x="3682365" y="4876800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𝛿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303105</xdr:colOff>
      <xdr:row>8</xdr:row>
      <xdr:rowOff>5925</xdr:rowOff>
    </xdr:from>
    <xdr:ext cx="11612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EE77BE-DBD0-409B-8274-C6B63AA8CED2}"/>
                </a:ext>
              </a:extLst>
            </xdr:cNvPr>
            <xdr:cNvSpPr txBox="1"/>
          </xdr:nvSpPr>
          <xdr:spPr>
            <a:xfrm>
              <a:off x="3684480" y="5054175"/>
              <a:ext cx="1161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𝛽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0EE77BE-DBD0-409B-8274-C6B63AA8CED2}"/>
                </a:ext>
              </a:extLst>
            </xdr:cNvPr>
            <xdr:cNvSpPr txBox="1"/>
          </xdr:nvSpPr>
          <xdr:spPr>
            <a:xfrm>
              <a:off x="3684480" y="5054175"/>
              <a:ext cx="1161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𝛽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301314</xdr:colOff>
      <xdr:row>15</xdr:row>
      <xdr:rowOff>14542</xdr:rowOff>
    </xdr:from>
    <xdr:ext cx="11702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E394927-D684-45AF-A86F-42A302EE29CE}"/>
                </a:ext>
              </a:extLst>
            </xdr:cNvPr>
            <xdr:cNvSpPr txBox="1"/>
          </xdr:nvSpPr>
          <xdr:spPr>
            <a:xfrm>
              <a:off x="1064768" y="2850229"/>
              <a:ext cx="1170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𝐴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3E394927-D684-45AF-A86F-42A302EE29CE}"/>
                </a:ext>
              </a:extLst>
            </xdr:cNvPr>
            <xdr:cNvSpPr txBox="1"/>
          </xdr:nvSpPr>
          <xdr:spPr>
            <a:xfrm>
              <a:off x="1064768" y="2850229"/>
              <a:ext cx="11702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𝐴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304800</xdr:colOff>
      <xdr:row>8</xdr:row>
      <xdr:rowOff>180413</xdr:rowOff>
    </xdr:from>
    <xdr:ext cx="10772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F2A6800-E79B-479B-9CEA-CE67DE3318D9}"/>
                </a:ext>
              </a:extLst>
            </xdr:cNvPr>
            <xdr:cNvSpPr txBox="1"/>
          </xdr:nvSpPr>
          <xdr:spPr>
            <a:xfrm>
              <a:off x="3686175" y="5228663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DF2A6800-E79B-479B-9CEA-CE67DE3318D9}"/>
                </a:ext>
              </a:extLst>
            </xdr:cNvPr>
            <xdr:cNvSpPr txBox="1"/>
          </xdr:nvSpPr>
          <xdr:spPr>
            <a:xfrm>
              <a:off x="3686175" y="5228663"/>
              <a:ext cx="10772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𝜌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284473</xdr:colOff>
      <xdr:row>10</xdr:row>
      <xdr:rowOff>419</xdr:rowOff>
    </xdr:from>
    <xdr:ext cx="16401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3564946D-4A87-4A6D-A91F-EFF7B380DF82}"/>
                </a:ext>
              </a:extLst>
            </xdr:cNvPr>
            <xdr:cNvSpPr txBox="1"/>
          </xdr:nvSpPr>
          <xdr:spPr>
            <a:xfrm>
              <a:off x="3665848" y="5429669"/>
              <a:ext cx="16401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3564946D-4A87-4A6D-A91F-EFF7B380DF82}"/>
                </a:ext>
              </a:extLst>
            </xdr:cNvPr>
            <xdr:cNvSpPr txBox="1"/>
          </xdr:nvSpPr>
          <xdr:spPr>
            <a:xfrm>
              <a:off x="3665848" y="5429669"/>
              <a:ext cx="16401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𝜎_𝑒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280536</xdr:colOff>
      <xdr:row>12</xdr:row>
      <xdr:rowOff>12834</xdr:rowOff>
    </xdr:from>
    <xdr:ext cx="168892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C9B953BD-AF42-4514-98B6-ACA007A84EDB}"/>
                </a:ext>
              </a:extLst>
            </xdr:cNvPr>
            <xdr:cNvSpPr txBox="1"/>
          </xdr:nvSpPr>
          <xdr:spPr>
            <a:xfrm>
              <a:off x="3661911" y="5823084"/>
              <a:ext cx="16889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𝜇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C9B953BD-AF42-4514-98B6-ACA007A84EDB}"/>
                </a:ext>
              </a:extLst>
            </xdr:cNvPr>
            <xdr:cNvSpPr txBox="1"/>
          </xdr:nvSpPr>
          <xdr:spPr>
            <a:xfrm>
              <a:off x="3661911" y="5823084"/>
              <a:ext cx="16889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𝜎_𝜇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284055</xdr:colOff>
      <xdr:row>11</xdr:row>
      <xdr:rowOff>20306</xdr:rowOff>
    </xdr:from>
    <xdr:ext cx="14478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950A4452-DF1B-49B2-BA2C-221E2DDC0C8B}"/>
                </a:ext>
              </a:extLst>
            </xdr:cNvPr>
            <xdr:cNvSpPr txBox="1"/>
          </xdr:nvSpPr>
          <xdr:spPr>
            <a:xfrm>
              <a:off x="3665430" y="5640056"/>
              <a:ext cx="1447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latin typeface="Cambria Math" panose="02040503050406030204" pitchFamily="18" charset="0"/>
                      </a:rPr>
                      <m:t>𝜆</m:t>
                    </m:r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950A4452-DF1B-49B2-BA2C-221E2DDC0C8B}"/>
                </a:ext>
              </a:extLst>
            </xdr:cNvPr>
            <xdr:cNvSpPr txBox="1"/>
          </xdr:nvSpPr>
          <xdr:spPr>
            <a:xfrm>
              <a:off x="3665430" y="5640056"/>
              <a:ext cx="1447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𝜆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</xdr:col>
      <xdr:colOff>303816</xdr:colOff>
      <xdr:row>13</xdr:row>
      <xdr:rowOff>119163</xdr:rowOff>
    </xdr:from>
    <xdr:ext cx="11509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4554BBB-BE32-42F2-9BAB-43B6B18D7A57}"/>
                </a:ext>
              </a:extLst>
            </xdr:cNvPr>
            <xdr:cNvSpPr txBox="1"/>
          </xdr:nvSpPr>
          <xdr:spPr>
            <a:xfrm>
              <a:off x="3685191" y="6119913"/>
              <a:ext cx="1150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</m:acc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4554BBB-BE32-42F2-9BAB-43B6B18D7A57}"/>
                </a:ext>
              </a:extLst>
            </xdr:cNvPr>
            <xdr:cNvSpPr txBox="1"/>
          </xdr:nvSpPr>
          <xdr:spPr>
            <a:xfrm>
              <a:off x="3685191" y="6119913"/>
              <a:ext cx="1150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𝑔 ̅</a:t>
              </a:r>
              <a:endParaRPr lang="es-PE" sz="1100" kern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295275</xdr:colOff>
      <xdr:row>7</xdr:row>
      <xdr:rowOff>4762</xdr:rowOff>
    </xdr:from>
    <xdr:ext cx="172803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98B2BFA-4B30-4517-92FA-BF51250F9B25}"/>
                </a:ext>
              </a:extLst>
            </xdr:cNvPr>
            <xdr:cNvSpPr txBox="1"/>
          </xdr:nvSpPr>
          <xdr:spPr>
            <a:xfrm>
              <a:off x="4105275" y="1528762"/>
              <a:ext cx="172803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98B2BFA-4B30-4517-92FA-BF51250F9B25}"/>
                </a:ext>
              </a:extLst>
            </xdr:cNvPr>
            <xdr:cNvSpPr txBox="1"/>
          </xdr:nvSpPr>
          <xdr:spPr>
            <a:xfrm>
              <a:off x="4105275" y="1528762"/>
              <a:ext cx="172803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</a:t>
              </a:r>
              <a:r>
                <a:rPr lang="es-ES" sz="1100" b="0" i="0" kern="1200">
                  <a:latin typeface="Cambria Math" panose="02040503050406030204" pitchFamily="18" charset="0"/>
                </a:rPr>
                <a:t>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9</xdr:col>
      <xdr:colOff>228599</xdr:colOff>
      <xdr:row>7</xdr:row>
      <xdr:rowOff>14286</xdr:rowOff>
    </xdr:from>
    <xdr:ext cx="333375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D82D29F-ED9B-490B-9A94-F0FF6146F825}"/>
                </a:ext>
              </a:extLst>
            </xdr:cNvPr>
            <xdr:cNvSpPr txBox="1"/>
          </xdr:nvSpPr>
          <xdr:spPr>
            <a:xfrm>
              <a:off x="6638924" y="1538286"/>
              <a:ext cx="33337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FD82D29F-ED9B-490B-9A94-F0FF6146F825}"/>
                </a:ext>
              </a:extLst>
            </xdr:cNvPr>
            <xdr:cNvSpPr txBox="1"/>
          </xdr:nvSpPr>
          <xdr:spPr>
            <a:xfrm>
              <a:off x="6638924" y="1538286"/>
              <a:ext cx="33337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</a:t>
              </a:r>
              <a:r>
                <a:rPr lang="es-ES" sz="1100" b="0" i="0" kern="1200">
                  <a:latin typeface="Cambria Math" panose="02040503050406030204" pitchFamily="18" charset="0"/>
                </a:rPr>
                <a:t>𝑖</a:t>
              </a:r>
              <a:r>
                <a:rPr lang="es-PE" sz="1100" b="0" i="0" kern="1200">
                  <a:latin typeface="Cambria Math" panose="02040503050406030204" pitchFamily="18" charset="0"/>
                </a:rPr>
                <a:t>/𝜎_𝑦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15</xdr:col>
      <xdr:colOff>228599</xdr:colOff>
      <xdr:row>7</xdr:row>
      <xdr:rowOff>4761</xdr:rowOff>
    </xdr:from>
    <xdr:ext cx="41910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3F686FA-4EBB-4DB6-8AB5-90F46E96FA35}"/>
                </a:ext>
              </a:extLst>
            </xdr:cNvPr>
            <xdr:cNvSpPr txBox="1"/>
          </xdr:nvSpPr>
          <xdr:spPr>
            <a:xfrm>
              <a:off x="7381874" y="8672511"/>
              <a:ext cx="4191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3F686FA-4EBB-4DB6-8AB5-90F46E96FA35}"/>
                </a:ext>
              </a:extLst>
            </xdr:cNvPr>
            <xdr:cNvSpPr txBox="1"/>
          </xdr:nvSpPr>
          <xdr:spPr>
            <a:xfrm>
              <a:off x="7381874" y="8672511"/>
              <a:ext cx="41910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𝜎_ℎ/𝜎_𝑤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17</xdr:col>
      <xdr:colOff>104774</xdr:colOff>
      <xdr:row>7</xdr:row>
      <xdr:rowOff>4761</xdr:rowOff>
    </xdr:from>
    <xdr:ext cx="54292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879B0A23-8BE4-4D5C-A067-2441D018FA99}"/>
                </a:ext>
              </a:extLst>
            </xdr:cNvPr>
            <xdr:cNvSpPr txBox="1"/>
          </xdr:nvSpPr>
          <xdr:spPr>
            <a:xfrm>
              <a:off x="10334624" y="1338261"/>
              <a:ext cx="5429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𝑐𝑜𝑟</m:t>
                    </m:r>
                    <m:d>
                      <m:d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</m:d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879B0A23-8BE4-4D5C-A067-2441D018FA99}"/>
                </a:ext>
              </a:extLst>
            </xdr:cNvPr>
            <xdr:cNvSpPr txBox="1"/>
          </xdr:nvSpPr>
          <xdr:spPr>
            <a:xfrm>
              <a:off x="10334624" y="1338261"/>
              <a:ext cx="54292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𝑐𝑜𝑟(</a:t>
              </a:r>
              <a:r>
                <a:rPr lang="es-ES" sz="1100" b="0" i="0" kern="1200">
                  <a:latin typeface="Cambria Math" panose="02040503050406030204" pitchFamily="18" charset="0"/>
                </a:rPr>
                <a:t>ℎ</a:t>
              </a:r>
              <a:r>
                <a:rPr lang="es-PE" sz="1100" b="0" i="0" kern="1200">
                  <a:latin typeface="Cambria Math" panose="02040503050406030204" pitchFamily="18" charset="0"/>
                </a:rPr>
                <a:t>,</a:t>
              </a:r>
              <a:r>
                <a:rPr lang="es-ES" sz="1100" b="0" i="0" kern="1200">
                  <a:latin typeface="Cambria Math" panose="02040503050406030204" pitchFamily="18" charset="0"/>
                </a:rPr>
                <a:t>𝑤)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6</xdr:col>
      <xdr:colOff>561974</xdr:colOff>
      <xdr:row>40</xdr:row>
      <xdr:rowOff>109536</xdr:rowOff>
    </xdr:from>
    <xdr:ext cx="33337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81C3DBB-CB44-4D27-B90E-C0D9BDFCBB08}"/>
                </a:ext>
              </a:extLst>
            </xdr:cNvPr>
            <xdr:cNvSpPr txBox="1"/>
          </xdr:nvSpPr>
          <xdr:spPr>
            <a:xfrm>
              <a:off x="5133974" y="8682036"/>
              <a:ext cx="33337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781C3DBB-CB44-4D27-B90E-C0D9BDFCBB08}"/>
                </a:ext>
              </a:extLst>
            </xdr:cNvPr>
            <xdr:cNvSpPr txBox="1"/>
          </xdr:nvSpPr>
          <xdr:spPr>
            <a:xfrm>
              <a:off x="5133974" y="8682036"/>
              <a:ext cx="33337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𝜎_𝑗/𝜎_𝑦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6</xdr:col>
      <xdr:colOff>714374</xdr:colOff>
      <xdr:row>41</xdr:row>
      <xdr:rowOff>71436</xdr:rowOff>
    </xdr:from>
    <xdr:ext cx="33337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90D7862-A708-4960-8C39-C948A6A5A984}"/>
                </a:ext>
              </a:extLst>
            </xdr:cNvPr>
            <xdr:cNvSpPr txBox="1"/>
          </xdr:nvSpPr>
          <xdr:spPr>
            <a:xfrm>
              <a:off x="5286374" y="8834436"/>
              <a:ext cx="33337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B90D7862-A708-4960-8C39-C948A6A5A984}"/>
                </a:ext>
              </a:extLst>
            </xdr:cNvPr>
            <xdr:cNvSpPr txBox="1"/>
          </xdr:nvSpPr>
          <xdr:spPr>
            <a:xfrm>
              <a:off x="5286374" y="8834436"/>
              <a:ext cx="33337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𝜎_𝑗/𝜎_𝑦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7</xdr:col>
      <xdr:colOff>228600</xdr:colOff>
      <xdr:row>7</xdr:row>
      <xdr:rowOff>9525</xdr:rowOff>
    </xdr:from>
    <xdr:ext cx="409575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B1B79047-4200-4017-92C0-F91169F5CF4C}"/>
                </a:ext>
              </a:extLst>
            </xdr:cNvPr>
            <xdr:cNvSpPr txBox="1"/>
          </xdr:nvSpPr>
          <xdr:spPr>
            <a:xfrm>
              <a:off x="5562600" y="1533525"/>
              <a:ext cx="40957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B1B79047-4200-4017-92C0-F91169F5CF4C}"/>
                </a:ext>
              </a:extLst>
            </xdr:cNvPr>
            <xdr:cNvSpPr txBox="1"/>
          </xdr:nvSpPr>
          <xdr:spPr>
            <a:xfrm>
              <a:off x="5562600" y="1533525"/>
              <a:ext cx="409575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</a:t>
              </a:r>
              <a:r>
                <a:rPr lang="es-ES" sz="1100" b="0" i="0" kern="1200">
                  <a:latin typeface="Cambria Math" panose="02040503050406030204" pitchFamily="18" charset="0"/>
                </a:rPr>
                <a:t>𝑐</a:t>
              </a:r>
              <a:r>
                <a:rPr lang="es-PE" sz="1100" b="0" i="0" kern="1200">
                  <a:latin typeface="Cambria Math" panose="02040503050406030204" pitchFamily="18" charset="0"/>
                </a:rPr>
                <a:t>/𝜎_𝑦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11</xdr:col>
      <xdr:colOff>171449</xdr:colOff>
      <xdr:row>7</xdr:row>
      <xdr:rowOff>4761</xdr:rowOff>
    </xdr:from>
    <xdr:ext cx="428626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4B519BF-BE8F-4148-B32A-0D13F8046F7C}"/>
                </a:ext>
              </a:extLst>
            </xdr:cNvPr>
            <xdr:cNvSpPr txBox="1"/>
          </xdr:nvSpPr>
          <xdr:spPr>
            <a:xfrm>
              <a:off x="7658099" y="1528761"/>
              <a:ext cx="428626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h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4B519BF-BE8F-4148-B32A-0D13F8046F7C}"/>
                </a:ext>
              </a:extLst>
            </xdr:cNvPr>
            <xdr:cNvSpPr txBox="1"/>
          </xdr:nvSpPr>
          <xdr:spPr>
            <a:xfrm>
              <a:off x="7658099" y="1528761"/>
              <a:ext cx="428626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</a:t>
              </a:r>
              <a:r>
                <a:rPr lang="es-ES" sz="1100" b="0" i="0" kern="1200">
                  <a:latin typeface="Cambria Math" panose="02040503050406030204" pitchFamily="18" charset="0"/>
                </a:rPr>
                <a:t>ℎ</a:t>
              </a:r>
              <a:r>
                <a:rPr lang="es-PE" sz="1100" b="0" i="0" kern="1200">
                  <a:latin typeface="Cambria Math" panose="02040503050406030204" pitchFamily="18" charset="0"/>
                </a:rPr>
                <a:t>/𝜎_𝑦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13</xdr:col>
      <xdr:colOff>276224</xdr:colOff>
      <xdr:row>7</xdr:row>
      <xdr:rowOff>4761</xdr:rowOff>
    </xdr:from>
    <xdr:ext cx="428626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DE4DF66-4174-4D90-A444-6534766BA1A2}"/>
                </a:ext>
              </a:extLst>
            </xdr:cNvPr>
            <xdr:cNvSpPr txBox="1"/>
          </xdr:nvSpPr>
          <xdr:spPr>
            <a:xfrm>
              <a:off x="8839199" y="1528761"/>
              <a:ext cx="428626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r>
                      <a:rPr lang="es-PE" sz="1100" b="0" i="1" kern="1200">
                        <a:latin typeface="Cambria Math" panose="02040503050406030204" pitchFamily="18" charset="0"/>
                      </a:rPr>
                      <m:t>/</m:t>
                    </m:r>
                    <m:sSub>
                      <m:sSubPr>
                        <m:ctrlPr>
                          <a:rPr lang="es-PE" sz="1100" b="0" i="1" kern="1200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PE" sz="1100" b="0" i="1" kern="1200">
                            <a:latin typeface="Cambria Math" panose="02040503050406030204" pitchFamily="18" charset="0"/>
                          </a:rPr>
                          <m:t>𝑦</m:t>
                        </m:r>
                      </m:sub>
                    </m:sSub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EDE4DF66-4174-4D90-A444-6534766BA1A2}"/>
                </a:ext>
              </a:extLst>
            </xdr:cNvPr>
            <xdr:cNvSpPr txBox="1"/>
          </xdr:nvSpPr>
          <xdr:spPr>
            <a:xfrm>
              <a:off x="8839199" y="1528761"/>
              <a:ext cx="428626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PE" sz="1100" b="0" i="0" kern="1200">
                  <a:latin typeface="Cambria Math" panose="02040503050406030204" pitchFamily="18" charset="0"/>
                </a:rPr>
                <a:t>𝜎_</a:t>
              </a:r>
              <a:r>
                <a:rPr lang="es-ES" sz="1100" b="0" i="0" kern="1200">
                  <a:latin typeface="Cambria Math" panose="02040503050406030204" pitchFamily="18" charset="0"/>
                </a:rPr>
                <a:t>𝑤</a:t>
              </a:r>
              <a:r>
                <a:rPr lang="es-PE" sz="1100" b="0" i="0" kern="1200">
                  <a:latin typeface="Cambria Math" panose="02040503050406030204" pitchFamily="18" charset="0"/>
                </a:rPr>
                <a:t>/𝜎_𝑦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3</xdr:col>
      <xdr:colOff>751516</xdr:colOff>
      <xdr:row>14</xdr:row>
      <xdr:rowOff>31975</xdr:rowOff>
    </xdr:from>
    <xdr:ext cx="117660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698F895-EDD6-44D1-B76E-787F9326E5AE}"/>
                </a:ext>
              </a:extLst>
            </xdr:cNvPr>
            <xdr:cNvSpPr txBox="1"/>
          </xdr:nvSpPr>
          <xdr:spPr>
            <a:xfrm>
              <a:off x="3032713" y="2721387"/>
              <a:ext cx="117660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.</m:t>
                        </m:r>
                      </m:e>
                      <m:sup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3698F895-EDD6-44D1-B76E-787F9326E5AE}"/>
                </a:ext>
              </a:extLst>
            </xdr:cNvPr>
            <xdr:cNvSpPr txBox="1"/>
          </xdr:nvSpPr>
          <xdr:spPr>
            <a:xfrm>
              <a:off x="3032713" y="2721387"/>
              <a:ext cx="117660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.^1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3</xdr:col>
      <xdr:colOff>335617</xdr:colOff>
      <xdr:row>15</xdr:row>
      <xdr:rowOff>16287</xdr:rowOff>
    </xdr:from>
    <xdr:ext cx="120674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EC7BE76-BF03-41DD-8616-10365DEA189F}"/>
                </a:ext>
              </a:extLst>
            </xdr:cNvPr>
            <xdr:cNvSpPr txBox="1"/>
          </xdr:nvSpPr>
          <xdr:spPr>
            <a:xfrm>
              <a:off x="2616814" y="2897800"/>
              <a:ext cx="120674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.</m:t>
                        </m:r>
                      </m:e>
                      <m:sup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9EC7BE76-BF03-41DD-8616-10365DEA189F}"/>
                </a:ext>
              </a:extLst>
            </xdr:cNvPr>
            <xdr:cNvSpPr txBox="1"/>
          </xdr:nvSpPr>
          <xdr:spPr>
            <a:xfrm>
              <a:off x="2616814" y="2897800"/>
              <a:ext cx="120674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.^2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2</xdr:col>
      <xdr:colOff>23454</xdr:colOff>
      <xdr:row>18</xdr:row>
      <xdr:rowOff>279</xdr:rowOff>
    </xdr:from>
    <xdr:ext cx="117660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718C474-D58B-4B1A-BE25-FB52AF4F2A2F}"/>
                </a:ext>
              </a:extLst>
            </xdr:cNvPr>
            <xdr:cNvSpPr txBox="1"/>
          </xdr:nvSpPr>
          <xdr:spPr>
            <a:xfrm>
              <a:off x="1544252" y="3458094"/>
              <a:ext cx="117660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.</m:t>
                        </m:r>
                      </m:e>
                      <m:sup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1</m:t>
                        </m:r>
                      </m:sup>
                    </m:sSup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0718C474-D58B-4B1A-BE25-FB52AF4F2A2F}"/>
                </a:ext>
              </a:extLst>
            </xdr:cNvPr>
            <xdr:cNvSpPr txBox="1"/>
          </xdr:nvSpPr>
          <xdr:spPr>
            <a:xfrm>
              <a:off x="1544252" y="3458094"/>
              <a:ext cx="117660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.^1</a:t>
              </a:r>
              <a:endParaRPr lang="es-PE" sz="1100" kern="1200"/>
            </a:p>
          </xdr:txBody>
        </xdr:sp>
      </mc:Fallback>
    </mc:AlternateContent>
    <xdr:clientData/>
  </xdr:oneCellAnchor>
  <xdr:oneCellAnchor>
    <xdr:from>
      <xdr:col>2</xdr:col>
      <xdr:colOff>23454</xdr:colOff>
      <xdr:row>19</xdr:row>
      <xdr:rowOff>279</xdr:rowOff>
    </xdr:from>
    <xdr:ext cx="120674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2204093-44D0-4898-AAFF-DEA784E1FC92}"/>
                </a:ext>
              </a:extLst>
            </xdr:cNvPr>
            <xdr:cNvSpPr txBox="1"/>
          </xdr:nvSpPr>
          <xdr:spPr>
            <a:xfrm>
              <a:off x="1544252" y="3650195"/>
              <a:ext cx="120674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ES" sz="1100" b="0" i="1" kern="120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.</m:t>
                        </m:r>
                      </m:e>
                      <m:sup>
                        <m:r>
                          <a:rPr lang="es-ES" sz="1100" b="0" i="1" kern="120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PE" sz="1100" kern="12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2204093-44D0-4898-AAFF-DEA784E1FC92}"/>
                </a:ext>
              </a:extLst>
            </xdr:cNvPr>
            <xdr:cNvSpPr txBox="1"/>
          </xdr:nvSpPr>
          <xdr:spPr>
            <a:xfrm>
              <a:off x="1544252" y="3650195"/>
              <a:ext cx="120674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 kern="1200">
                  <a:latin typeface="Cambria Math" panose="02040503050406030204" pitchFamily="18" charset="0"/>
                </a:rPr>
                <a:t>.^2</a:t>
              </a:r>
              <a:endParaRPr lang="es-PE" sz="1100" kern="12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7B32-F493-4224-9C3F-2E348398771F}">
  <dimension ref="B3:M20"/>
  <sheetViews>
    <sheetView tabSelected="1" zoomScale="95" workbookViewId="0">
      <selection activeCell="I17" sqref="I17"/>
    </sheetView>
  </sheetViews>
  <sheetFormatPr baseColWidth="10" defaultRowHeight="15" x14ac:dyDescent="0.25"/>
  <sheetData>
    <row r="3" spans="2:13" x14ac:dyDescent="0.25">
      <c r="B3" s="30" t="s">
        <v>66</v>
      </c>
      <c r="C3" s="30"/>
      <c r="D3" s="21" t="s">
        <v>48</v>
      </c>
      <c r="E3" s="21" t="s">
        <v>49</v>
      </c>
      <c r="F3" s="21" t="s">
        <v>50</v>
      </c>
      <c r="G3" s="21" t="s">
        <v>51</v>
      </c>
      <c r="H3" s="21" t="s">
        <v>67</v>
      </c>
      <c r="I3" s="21" t="s">
        <v>52</v>
      </c>
      <c r="J3" s="21" t="s">
        <v>53</v>
      </c>
      <c r="K3" s="21" t="s">
        <v>54</v>
      </c>
      <c r="L3" s="21" t="s">
        <v>55</v>
      </c>
      <c r="M3" s="21" t="s">
        <v>56</v>
      </c>
    </row>
    <row r="4" spans="2:13" x14ac:dyDescent="0.25">
      <c r="B4" s="30"/>
      <c r="C4" s="30"/>
      <c r="D4" s="23">
        <v>0.42209000000000002</v>
      </c>
      <c r="E4" s="23">
        <v>0.57791000000000003</v>
      </c>
      <c r="F4" s="23">
        <v>5.1929999999999997E-2</v>
      </c>
      <c r="G4" s="23">
        <v>0.96350000000000002</v>
      </c>
      <c r="H4" s="23">
        <v>3.5678800000000002</v>
      </c>
      <c r="I4" s="23">
        <v>0.97894999999999999</v>
      </c>
      <c r="J4" s="23">
        <v>0.22187999999999999</v>
      </c>
      <c r="K4" s="23">
        <v>0.97753000000000001</v>
      </c>
      <c r="L4" s="23">
        <v>4.3290000000000002E-2</v>
      </c>
      <c r="M4" s="23">
        <v>0.13181000000000001</v>
      </c>
    </row>
    <row r="5" spans="2:13" x14ac:dyDescent="0.25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2:13" x14ac:dyDescent="0.25">
      <c r="B6" s="30" t="s">
        <v>61</v>
      </c>
      <c r="C6" s="30"/>
      <c r="D6" s="21" t="s">
        <v>58</v>
      </c>
      <c r="E6" s="21" t="s">
        <v>59</v>
      </c>
      <c r="F6" s="21" t="s">
        <v>13</v>
      </c>
      <c r="G6" s="21" t="s">
        <v>60</v>
      </c>
      <c r="H6" s="21" t="s">
        <v>11</v>
      </c>
      <c r="I6" s="21" t="s">
        <v>10</v>
      </c>
      <c r="J6" s="21" t="s">
        <v>14</v>
      </c>
      <c r="K6" s="21" t="s">
        <v>12</v>
      </c>
      <c r="L6" s="22"/>
      <c r="M6" s="22"/>
    </row>
    <row r="7" spans="2:13" x14ac:dyDescent="0.25">
      <c r="B7" s="30" t="s">
        <v>62</v>
      </c>
      <c r="C7" s="30"/>
      <c r="D7" s="24">
        <f>(1/D4)*((1/G4)-1+F4)</f>
        <v>0.2127809691125695</v>
      </c>
      <c r="E7" s="24">
        <f>D7-F4</f>
        <v>0.16085096911256949</v>
      </c>
      <c r="F7" s="24">
        <f>((1-D4)*(D7/E7))/(H4+(1-D4)*(D7/E7))</f>
        <v>0.17645916151754373</v>
      </c>
      <c r="G7" s="24">
        <f>F7*(D7^(1/(D4-1)))</f>
        <v>2.5678599914466353</v>
      </c>
      <c r="H7" s="24">
        <f>E7*G7</f>
        <v>0.41304276816958568</v>
      </c>
      <c r="I7" s="24">
        <f>G7*D7</f>
        <v>0.54639173752540948</v>
      </c>
      <c r="J7" s="24">
        <f>I7/F7</f>
        <v>3.0964203435313653</v>
      </c>
      <c r="K7" s="21">
        <f>I17-H17</f>
        <v>0.13334897000000001</v>
      </c>
      <c r="L7" s="22"/>
      <c r="M7" s="22"/>
    </row>
    <row r="8" spans="2:13" x14ac:dyDescent="0.25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2:13" x14ac:dyDescent="0.25">
      <c r="B9" s="31" t="s">
        <v>61</v>
      </c>
      <c r="C9" s="32"/>
      <c r="D9" s="21" t="s">
        <v>58</v>
      </c>
      <c r="E9" s="21" t="s">
        <v>64</v>
      </c>
      <c r="F9" s="21" t="s">
        <v>65</v>
      </c>
      <c r="G9" s="21" t="s">
        <v>59</v>
      </c>
      <c r="H9" s="21" t="s">
        <v>13</v>
      </c>
      <c r="I9" s="21" t="s">
        <v>60</v>
      </c>
      <c r="J9" s="21" t="s">
        <v>11</v>
      </c>
      <c r="K9" s="21" t="s">
        <v>10</v>
      </c>
      <c r="L9" s="21" t="s">
        <v>14</v>
      </c>
      <c r="M9" s="22"/>
    </row>
    <row r="10" spans="2:13" x14ac:dyDescent="0.25">
      <c r="B10" s="31" t="s">
        <v>63</v>
      </c>
      <c r="C10" s="32"/>
      <c r="D10" s="24">
        <f>(1/D4)*((1/G4)-1+F4)</f>
        <v>0.2127809691125695</v>
      </c>
      <c r="E10" s="24">
        <v>0.13181000000000001</v>
      </c>
      <c r="F10" s="24">
        <f>E10*D10</f>
        <v>2.8046659538727786E-2</v>
      </c>
      <c r="G10" s="24">
        <f>D10-F10-F4</f>
        <v>0.13280430957384171</v>
      </c>
      <c r="H10" s="24">
        <f>((1-D4)*(D10/G10))/(H4+(1-D4)*(D10/G10))</f>
        <v>0.20604665453940033</v>
      </c>
      <c r="I10" s="24">
        <f>H10*(D10^(1/(D4-1)))</f>
        <v>2.998421595189031</v>
      </c>
      <c r="J10" s="24">
        <f>I10*G10</f>
        <v>0.39820330976037632</v>
      </c>
      <c r="K10" s="24">
        <f>I10*D10</f>
        <v>0.63800705283237857</v>
      </c>
      <c r="L10" s="24">
        <f>K10/H10</f>
        <v>3.0964203435313657</v>
      </c>
      <c r="M10" s="22"/>
    </row>
    <row r="11" spans="2:13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2:13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2:13" x14ac:dyDescent="0.25">
      <c r="B13" s="30" t="s">
        <v>66</v>
      </c>
      <c r="C13" s="30"/>
      <c r="D13" s="21" t="s">
        <v>48</v>
      </c>
      <c r="E13" s="21" t="s">
        <v>49</v>
      </c>
      <c r="F13" s="21" t="s">
        <v>50</v>
      </c>
      <c r="G13" s="21" t="s">
        <v>51</v>
      </c>
      <c r="H13" s="21" t="s">
        <v>67</v>
      </c>
      <c r="I13" s="21" t="s">
        <v>52</v>
      </c>
      <c r="J13" s="21" t="s">
        <v>53</v>
      </c>
      <c r="K13" s="21" t="s">
        <v>54</v>
      </c>
      <c r="L13" s="21" t="s">
        <v>55</v>
      </c>
      <c r="M13" s="21" t="s">
        <v>56</v>
      </c>
    </row>
    <row r="14" spans="2:13" x14ac:dyDescent="0.25">
      <c r="B14" s="30"/>
      <c r="C14" s="30"/>
      <c r="D14" s="21">
        <v>0.42209000000000002</v>
      </c>
      <c r="E14" s="21">
        <v>0.57791000000000003</v>
      </c>
      <c r="F14" s="21">
        <v>5.1929999999999997E-2</v>
      </c>
      <c r="G14" s="21">
        <v>0.96350000000000002</v>
      </c>
      <c r="H14" s="21">
        <v>3.5678800000000002</v>
      </c>
      <c r="I14" s="21">
        <v>0.97894999999999999</v>
      </c>
      <c r="J14" s="21">
        <v>0.22187999999999999</v>
      </c>
      <c r="K14" s="21">
        <v>0.97753000000000001</v>
      </c>
      <c r="L14" s="21">
        <v>4.3290000000000002E-2</v>
      </c>
      <c r="M14" s="21">
        <v>0.13181000000000001</v>
      </c>
    </row>
    <row r="15" spans="2:13" x14ac:dyDescent="0.25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3" x14ac:dyDescent="0.25">
      <c r="B16" s="30" t="s">
        <v>61</v>
      </c>
      <c r="C16" s="30"/>
      <c r="D16" s="21" t="s">
        <v>58</v>
      </c>
      <c r="E16" s="21" t="s">
        <v>59</v>
      </c>
      <c r="F16" s="21" t="s">
        <v>13</v>
      </c>
      <c r="G16" s="21" t="s">
        <v>60</v>
      </c>
      <c r="H16" s="21" t="s">
        <v>11</v>
      </c>
      <c r="I16" s="21" t="s">
        <v>10</v>
      </c>
      <c r="J16" s="21" t="s">
        <v>14</v>
      </c>
      <c r="K16" s="57" t="s">
        <v>12</v>
      </c>
      <c r="L16" s="22"/>
      <c r="M16" s="22"/>
    </row>
    <row r="17" spans="2:13" x14ac:dyDescent="0.25">
      <c r="B17" s="30" t="s">
        <v>62</v>
      </c>
      <c r="C17" s="30"/>
      <c r="D17" s="21">
        <v>0.21278097000000001</v>
      </c>
      <c r="E17" s="21">
        <v>0.16085097000000001</v>
      </c>
      <c r="F17" s="21">
        <v>0.17645916</v>
      </c>
      <c r="G17" s="21">
        <v>2.5678599900000001</v>
      </c>
      <c r="H17" s="21">
        <v>0.41304277</v>
      </c>
      <c r="I17" s="21">
        <v>0.54639174000000001</v>
      </c>
      <c r="J17" s="21">
        <v>3.0964203399999999</v>
      </c>
      <c r="K17" s="58">
        <v>0.13334897000000001</v>
      </c>
      <c r="L17" s="22"/>
      <c r="M17" s="22"/>
    </row>
    <row r="18" spans="2:13" x14ac:dyDescent="0.25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2:13" x14ac:dyDescent="0.25">
      <c r="B19" s="31" t="s">
        <v>61</v>
      </c>
      <c r="C19" s="32"/>
      <c r="D19" s="21" t="s">
        <v>58</v>
      </c>
      <c r="E19" s="21" t="s">
        <v>64</v>
      </c>
      <c r="F19" s="21" t="s">
        <v>65</v>
      </c>
      <c r="G19" s="21" t="s">
        <v>59</v>
      </c>
      <c r="H19" s="21" t="s">
        <v>13</v>
      </c>
      <c r="I19" s="21" t="s">
        <v>60</v>
      </c>
      <c r="J19" s="21" t="s">
        <v>11</v>
      </c>
      <c r="K19" s="21" t="s">
        <v>10</v>
      </c>
      <c r="L19" s="21" t="s">
        <v>14</v>
      </c>
      <c r="M19" s="21" t="s">
        <v>12</v>
      </c>
    </row>
    <row r="20" spans="2:13" x14ac:dyDescent="0.25">
      <c r="B20" s="31" t="s">
        <v>63</v>
      </c>
      <c r="C20" s="32"/>
      <c r="D20" s="21">
        <v>0.21278097000000001</v>
      </c>
      <c r="E20" s="21">
        <v>0.13181000000000001</v>
      </c>
      <c r="F20" s="21">
        <v>2.8046660000000001E-2</v>
      </c>
      <c r="G20" s="21">
        <v>0.13280431000000001</v>
      </c>
      <c r="H20" s="21">
        <v>0.20604665</v>
      </c>
      <c r="I20" s="21">
        <v>2.9984215999999999</v>
      </c>
      <c r="J20" s="21">
        <v>0.39820330999999998</v>
      </c>
      <c r="K20" s="21">
        <v>0.63800705000000002</v>
      </c>
      <c r="L20" s="21">
        <v>3.0964203399999999</v>
      </c>
      <c r="M20" s="21">
        <f>K20-J20-E20</f>
        <v>0.10799374000000003</v>
      </c>
    </row>
  </sheetData>
  <mergeCells count="10">
    <mergeCell ref="B16:C16"/>
    <mergeCell ref="B17:C17"/>
    <mergeCell ref="B19:C19"/>
    <mergeCell ref="B20:C20"/>
    <mergeCell ref="B3:C4"/>
    <mergeCell ref="B6:C6"/>
    <mergeCell ref="B7:C7"/>
    <mergeCell ref="B9:C9"/>
    <mergeCell ref="B10:C10"/>
    <mergeCell ref="B13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BEF1-91F4-4361-971D-944CE8EC1AC4}">
  <dimension ref="C2:L23"/>
  <sheetViews>
    <sheetView showGridLines="0" topLeftCell="A8" zoomScale="135" zoomScaleNormal="68" workbookViewId="0">
      <selection activeCell="N11" sqref="N11"/>
    </sheetView>
  </sheetViews>
  <sheetFormatPr baseColWidth="10" defaultRowHeight="15" x14ac:dyDescent="0.25"/>
  <cols>
    <col min="1" max="4" width="11.42578125" style="1"/>
    <col min="5" max="5" width="5" style="1" customWidth="1"/>
    <col min="6" max="10" width="11.42578125" style="10"/>
    <col min="11" max="11" width="2.85546875" style="10" customWidth="1"/>
    <col min="12" max="12" width="11.42578125" style="10"/>
    <col min="13" max="16384" width="11.42578125" style="1"/>
  </cols>
  <sheetData>
    <row r="2" spans="3:12" x14ac:dyDescent="0.25">
      <c r="C2" s="2"/>
      <c r="D2" s="2"/>
      <c r="E2" s="2"/>
      <c r="F2" s="3"/>
      <c r="G2" s="3"/>
      <c r="H2" s="3"/>
      <c r="I2" s="3"/>
      <c r="J2" s="3"/>
      <c r="K2" s="3"/>
      <c r="L2" s="3"/>
    </row>
    <row r="3" spans="3:12" x14ac:dyDescent="0.25">
      <c r="C3" s="34" t="s">
        <v>21</v>
      </c>
      <c r="D3" s="34"/>
      <c r="E3" s="34"/>
      <c r="F3" s="34"/>
      <c r="G3" s="34"/>
      <c r="H3" s="34"/>
      <c r="I3" s="34"/>
      <c r="J3" s="34"/>
      <c r="K3" s="34"/>
      <c r="L3" s="34"/>
    </row>
    <row r="4" spans="3:12" x14ac:dyDescent="0.25">
      <c r="C4" s="37" t="s">
        <v>17</v>
      </c>
      <c r="D4" s="37"/>
      <c r="E4" s="37"/>
      <c r="F4" s="37"/>
      <c r="G4" s="37"/>
      <c r="H4" s="37"/>
      <c r="I4" s="37"/>
      <c r="J4" s="37"/>
      <c r="K4" s="37"/>
      <c r="L4" s="37"/>
    </row>
    <row r="5" spans="3:12" ht="10.5" customHeight="1" x14ac:dyDescent="0.25">
      <c r="C5" s="5"/>
      <c r="D5" s="5"/>
      <c r="E5" s="5"/>
      <c r="F5" s="6"/>
      <c r="G5" s="6"/>
      <c r="H5" s="6"/>
      <c r="I5" s="6"/>
      <c r="J5" s="6"/>
      <c r="K5" s="6"/>
      <c r="L5" s="6"/>
    </row>
    <row r="6" spans="3:12" x14ac:dyDescent="0.25">
      <c r="C6" s="4"/>
      <c r="D6" s="4"/>
      <c r="E6" s="4"/>
      <c r="F6" s="7" t="s">
        <v>5</v>
      </c>
      <c r="G6" s="7" t="s">
        <v>7</v>
      </c>
      <c r="H6" s="35" t="s">
        <v>8</v>
      </c>
      <c r="I6" s="35"/>
      <c r="J6" s="35" t="s">
        <v>9</v>
      </c>
      <c r="K6" s="35"/>
      <c r="L6" s="35"/>
    </row>
    <row r="7" spans="3:12" ht="6.6" customHeight="1" x14ac:dyDescent="0.25">
      <c r="C7" s="5"/>
      <c r="D7" s="5"/>
      <c r="E7" s="5"/>
      <c r="F7" s="6"/>
      <c r="G7" s="6"/>
      <c r="H7" s="6"/>
      <c r="I7" s="6"/>
      <c r="J7" s="6"/>
      <c r="K7" s="6"/>
      <c r="L7" s="6"/>
    </row>
    <row r="8" spans="3:12" x14ac:dyDescent="0.25">
      <c r="C8" s="8" t="s">
        <v>19</v>
      </c>
      <c r="D8" s="5"/>
      <c r="E8" s="5"/>
      <c r="F8" s="6" t="s">
        <v>6</v>
      </c>
      <c r="G8" s="6"/>
      <c r="H8" s="6"/>
      <c r="I8" s="6"/>
      <c r="J8" s="6"/>
      <c r="K8" s="6"/>
      <c r="L8" s="6"/>
    </row>
    <row r="9" spans="3:12" ht="6.6" customHeight="1" x14ac:dyDescent="0.25">
      <c r="C9" s="4"/>
      <c r="D9" s="4"/>
      <c r="E9" s="4"/>
      <c r="F9" s="7"/>
      <c r="G9" s="7"/>
      <c r="H9" s="7"/>
      <c r="I9" s="7"/>
      <c r="J9" s="7"/>
      <c r="K9" s="7"/>
      <c r="L9" s="7"/>
    </row>
    <row r="10" spans="3:12" x14ac:dyDescent="0.25">
      <c r="C10" s="5"/>
      <c r="D10" s="5"/>
      <c r="E10" s="5"/>
      <c r="F10" s="6"/>
      <c r="G10" s="6"/>
      <c r="H10" s="6"/>
      <c r="I10" s="6"/>
      <c r="J10" s="6"/>
      <c r="K10" s="6"/>
      <c r="L10" s="6"/>
    </row>
    <row r="11" spans="3:12" x14ac:dyDescent="0.25">
      <c r="C11" s="33" t="s">
        <v>0</v>
      </c>
      <c r="D11" s="33"/>
      <c r="E11" s="5"/>
      <c r="F11" s="6" t="s">
        <v>10</v>
      </c>
      <c r="G11" s="6">
        <f>0.0416*100</f>
        <v>4.16</v>
      </c>
      <c r="H11" s="6">
        <v>1</v>
      </c>
      <c r="I11" s="6">
        <v>1</v>
      </c>
      <c r="J11" s="9" t="s">
        <v>18</v>
      </c>
      <c r="K11" s="6"/>
      <c r="L11" s="9" t="s">
        <v>18</v>
      </c>
    </row>
    <row r="12" spans="3:12" x14ac:dyDescent="0.25">
      <c r="C12" s="33" t="s">
        <v>1</v>
      </c>
      <c r="D12" s="33"/>
      <c r="E12" s="5"/>
      <c r="F12" s="6" t="s">
        <v>11</v>
      </c>
      <c r="G12" s="6">
        <f>0.0303*100</f>
        <v>3.0300000000000002</v>
      </c>
      <c r="H12" s="6">
        <v>0.72936999999999996</v>
      </c>
      <c r="I12" s="6">
        <v>0.86175000000000002</v>
      </c>
      <c r="J12" s="9" t="s">
        <v>18</v>
      </c>
      <c r="K12" s="6"/>
      <c r="L12" s="9" t="s">
        <v>18</v>
      </c>
    </row>
    <row r="13" spans="3:12" x14ac:dyDescent="0.25">
      <c r="C13" s="33" t="s">
        <v>2</v>
      </c>
      <c r="D13" s="33"/>
      <c r="E13" s="5"/>
      <c r="F13" s="6" t="s">
        <v>12</v>
      </c>
      <c r="G13" s="6">
        <f>0.1075*100</f>
        <v>10.75</v>
      </c>
      <c r="H13" s="6">
        <v>2.5825999999999998</v>
      </c>
      <c r="I13" s="6">
        <v>0.87771999999999994</v>
      </c>
      <c r="J13" s="9" t="s">
        <v>18</v>
      </c>
      <c r="K13" s="6"/>
      <c r="L13" s="9" t="s">
        <v>18</v>
      </c>
    </row>
    <row r="14" spans="3:12" x14ac:dyDescent="0.25">
      <c r="C14" s="5"/>
      <c r="D14" s="5"/>
      <c r="E14" s="5"/>
      <c r="F14" s="6"/>
      <c r="G14" s="6"/>
      <c r="H14" s="6"/>
      <c r="I14" s="6"/>
      <c r="J14" s="6"/>
      <c r="K14" s="6"/>
      <c r="L14" s="6"/>
    </row>
    <row r="15" spans="3:12" x14ac:dyDescent="0.25">
      <c r="C15" s="36" t="s">
        <v>15</v>
      </c>
      <c r="D15" s="36"/>
      <c r="E15" s="5"/>
      <c r="F15" s="6"/>
      <c r="G15" s="6"/>
      <c r="H15" s="6"/>
      <c r="I15" s="6"/>
      <c r="J15" s="6"/>
      <c r="K15" s="6"/>
      <c r="L15" s="6"/>
    </row>
    <row r="16" spans="3:12" x14ac:dyDescent="0.25">
      <c r="C16" s="33" t="s">
        <v>3</v>
      </c>
      <c r="D16" s="33"/>
      <c r="E16" s="5"/>
      <c r="F16" s="6"/>
      <c r="G16" s="6"/>
      <c r="H16" s="6"/>
      <c r="I16" s="6"/>
      <c r="J16" s="6"/>
      <c r="K16" s="6"/>
      <c r="L16" s="6"/>
    </row>
    <row r="17" spans="3:12" x14ac:dyDescent="0.25">
      <c r="C17" s="33" t="s">
        <v>4</v>
      </c>
      <c r="D17" s="33"/>
      <c r="E17" s="5"/>
      <c r="F17" s="6"/>
      <c r="G17" s="6"/>
      <c r="H17" s="6"/>
      <c r="I17" s="6"/>
      <c r="J17" s="6"/>
      <c r="K17" s="6"/>
      <c r="L17" s="6"/>
    </row>
    <row r="18" spans="3:12" x14ac:dyDescent="0.25">
      <c r="C18" s="33" t="s">
        <v>44</v>
      </c>
      <c r="D18" s="33"/>
      <c r="E18" s="5"/>
      <c r="F18" s="6" t="s">
        <v>13</v>
      </c>
      <c r="G18" s="6">
        <f>0.0074*100</f>
        <v>0.74</v>
      </c>
      <c r="H18" s="6">
        <v>0.17669000000000001</v>
      </c>
      <c r="I18" s="6">
        <v>0.25996999999999998</v>
      </c>
      <c r="J18" s="6">
        <v>0.18231</v>
      </c>
      <c r="K18" s="6"/>
      <c r="L18" s="6">
        <v>8.5925000000000001E-2</v>
      </c>
    </row>
    <row r="19" spans="3:12" x14ac:dyDescent="0.25">
      <c r="C19" s="33" t="s">
        <v>16</v>
      </c>
      <c r="D19" s="33"/>
      <c r="E19" s="5"/>
      <c r="F19" s="6" t="s">
        <v>14</v>
      </c>
      <c r="G19" s="6">
        <f>0.0403*100</f>
        <v>4.03</v>
      </c>
      <c r="H19" s="6">
        <v>0.96919999999999995</v>
      </c>
      <c r="I19" s="6">
        <v>0.98438000000000003</v>
      </c>
      <c r="J19" s="6"/>
      <c r="K19" s="6"/>
      <c r="L19" s="6"/>
    </row>
    <row r="20" spans="3:12" x14ac:dyDescent="0.25">
      <c r="C20" s="4"/>
      <c r="D20" s="4"/>
      <c r="E20" s="4"/>
      <c r="F20" s="7"/>
      <c r="G20" s="7"/>
      <c r="H20" s="7"/>
      <c r="I20" s="7"/>
      <c r="J20" s="7"/>
      <c r="K20" s="7"/>
      <c r="L20" s="7"/>
    </row>
    <row r="21" spans="3:12" x14ac:dyDescent="0.25">
      <c r="C21" s="1" t="s">
        <v>20</v>
      </c>
    </row>
    <row r="23" spans="3:12" x14ac:dyDescent="0.25">
      <c r="F23" s="1"/>
    </row>
  </sheetData>
  <mergeCells count="12">
    <mergeCell ref="C19:D19"/>
    <mergeCell ref="C18:D18"/>
    <mergeCell ref="C3:L3"/>
    <mergeCell ref="C11:D11"/>
    <mergeCell ref="C12:D12"/>
    <mergeCell ref="C13:D13"/>
    <mergeCell ref="C17:D17"/>
    <mergeCell ref="C16:D16"/>
    <mergeCell ref="H6:I6"/>
    <mergeCell ref="J6:L6"/>
    <mergeCell ref="C15:D15"/>
    <mergeCell ref="C4:L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D3B8-6F49-41AE-AC60-C505926E86DB}">
  <dimension ref="B3:I17"/>
  <sheetViews>
    <sheetView showGridLines="0" zoomScale="76" workbookViewId="0">
      <selection activeCell="K14" sqref="K14"/>
    </sheetView>
  </sheetViews>
  <sheetFormatPr baseColWidth="10" defaultRowHeight="15" x14ac:dyDescent="0.25"/>
  <sheetData>
    <row r="3" spans="2:9" x14ac:dyDescent="0.25">
      <c r="B3" s="38" t="s">
        <v>22</v>
      </c>
      <c r="C3" s="39"/>
      <c r="D3" s="39"/>
      <c r="E3" s="39"/>
      <c r="F3" s="39"/>
      <c r="G3" s="39"/>
      <c r="H3" s="39"/>
      <c r="I3" s="40"/>
    </row>
    <row r="4" spans="2:9" x14ac:dyDescent="0.25">
      <c r="B4" s="41" t="s">
        <v>23</v>
      </c>
      <c r="C4" s="42"/>
      <c r="D4" s="42"/>
      <c r="E4" s="42"/>
      <c r="F4" s="42"/>
      <c r="G4" s="42"/>
      <c r="H4" s="42"/>
      <c r="I4" s="43"/>
    </row>
    <row r="5" spans="2:9" x14ac:dyDescent="0.25">
      <c r="B5" s="11" t="s">
        <v>24</v>
      </c>
      <c r="C5" s="12"/>
      <c r="D5" s="44" t="s">
        <v>25</v>
      </c>
      <c r="E5" s="44"/>
      <c r="F5" s="44"/>
      <c r="G5" s="13"/>
      <c r="H5" s="45" t="s">
        <v>26</v>
      </c>
      <c r="I5" s="46"/>
    </row>
    <row r="6" spans="2:9" x14ac:dyDescent="0.25">
      <c r="B6" s="15"/>
      <c r="C6" s="14"/>
      <c r="D6" s="45" t="s">
        <v>27</v>
      </c>
      <c r="E6" s="45"/>
      <c r="F6" s="45"/>
      <c r="G6" s="14"/>
      <c r="H6" s="47">
        <v>0.42209000000000002</v>
      </c>
      <c r="I6" s="48"/>
    </row>
    <row r="7" spans="2:9" x14ac:dyDescent="0.25">
      <c r="B7" s="15"/>
      <c r="C7" s="14"/>
      <c r="D7" s="45" t="s">
        <v>28</v>
      </c>
      <c r="E7" s="45"/>
      <c r="F7" s="45"/>
      <c r="G7" s="14"/>
      <c r="H7" s="47">
        <v>0.57791000000000003</v>
      </c>
      <c r="I7" s="48"/>
    </row>
    <row r="8" spans="2:9" x14ac:dyDescent="0.25">
      <c r="B8" s="15"/>
      <c r="C8" s="14"/>
      <c r="D8" s="45" t="s">
        <v>29</v>
      </c>
      <c r="E8" s="45"/>
      <c r="F8" s="45"/>
      <c r="G8" s="14"/>
      <c r="H8" s="47">
        <v>5.1929999999999997E-2</v>
      </c>
      <c r="I8" s="48"/>
    </row>
    <row r="9" spans="2:9" x14ac:dyDescent="0.25">
      <c r="B9" s="15"/>
      <c r="C9" s="14"/>
      <c r="D9" s="45" t="s">
        <v>30</v>
      </c>
      <c r="E9" s="45"/>
      <c r="F9" s="45"/>
      <c r="G9" s="14"/>
      <c r="H9" s="47">
        <v>0.96350000000000002</v>
      </c>
      <c r="I9" s="48"/>
    </row>
    <row r="10" spans="2:9" x14ac:dyDescent="0.25">
      <c r="B10" s="15"/>
      <c r="C10" s="14"/>
      <c r="D10" s="45" t="s">
        <v>34</v>
      </c>
      <c r="E10" s="45"/>
      <c r="F10" s="45"/>
      <c r="G10" s="16"/>
      <c r="H10" s="47">
        <v>0.97894999999999999</v>
      </c>
      <c r="I10" s="48"/>
    </row>
    <row r="11" spans="2:9" x14ac:dyDescent="0.25">
      <c r="B11" s="15"/>
      <c r="C11" s="14"/>
      <c r="D11" s="45" t="s">
        <v>35</v>
      </c>
      <c r="E11" s="45"/>
      <c r="F11" s="45"/>
      <c r="G11" s="16"/>
      <c r="H11" s="47">
        <v>0.22187999999999999</v>
      </c>
      <c r="I11" s="48"/>
    </row>
    <row r="12" spans="2:9" x14ac:dyDescent="0.25">
      <c r="B12" s="15"/>
      <c r="C12" s="14"/>
      <c r="D12" s="45" t="s">
        <v>36</v>
      </c>
      <c r="E12" s="45"/>
      <c r="F12" s="45"/>
      <c r="G12" s="16"/>
      <c r="H12" s="47">
        <v>0.97753000000000001</v>
      </c>
      <c r="I12" s="48"/>
    </row>
    <row r="13" spans="2:9" x14ac:dyDescent="0.25">
      <c r="B13" s="15"/>
      <c r="C13" s="14"/>
      <c r="D13" s="45" t="s">
        <v>57</v>
      </c>
      <c r="E13" s="45"/>
      <c r="F13" s="45"/>
      <c r="G13" s="14"/>
      <c r="H13" s="47">
        <v>4.3290000000000002E-2</v>
      </c>
      <c r="I13" s="48"/>
    </row>
    <row r="14" spans="2:9" x14ac:dyDescent="0.25">
      <c r="B14" s="49"/>
      <c r="C14" s="17"/>
      <c r="D14" s="51" t="s">
        <v>32</v>
      </c>
      <c r="E14" s="51"/>
      <c r="F14" s="51"/>
      <c r="G14" s="17"/>
      <c r="H14" s="52">
        <v>0.13181000000000001</v>
      </c>
      <c r="I14" s="53"/>
    </row>
    <row r="15" spans="2:9" x14ac:dyDescent="0.25">
      <c r="B15" s="50"/>
      <c r="C15" s="12"/>
      <c r="D15" s="44" t="s">
        <v>33</v>
      </c>
      <c r="E15" s="44"/>
      <c r="F15" s="44"/>
      <c r="G15" s="12"/>
      <c r="H15" s="54"/>
      <c r="I15" s="55"/>
    </row>
    <row r="16" spans="2:9" x14ac:dyDescent="0.25">
      <c r="B16" s="20"/>
      <c r="C16" s="14"/>
      <c r="D16" s="45" t="s">
        <v>31</v>
      </c>
      <c r="E16" s="45"/>
      <c r="F16" s="45"/>
      <c r="G16" s="14"/>
      <c r="H16" s="47">
        <v>3.5678800000000002</v>
      </c>
      <c r="I16" s="48"/>
    </row>
    <row r="17" spans="2:9" x14ac:dyDescent="0.25">
      <c r="B17" s="1" t="s">
        <v>20</v>
      </c>
      <c r="C17" s="10"/>
      <c r="D17" s="10"/>
      <c r="E17" s="10"/>
      <c r="F17" s="10"/>
      <c r="G17" s="10"/>
      <c r="H17" s="10"/>
      <c r="I17" s="10"/>
    </row>
  </sheetData>
  <mergeCells count="26">
    <mergeCell ref="D16:F16"/>
    <mergeCell ref="H16:I16"/>
    <mergeCell ref="D13:F13"/>
    <mergeCell ref="H13:I13"/>
    <mergeCell ref="B14:B15"/>
    <mergeCell ref="D14:F14"/>
    <mergeCell ref="H14:I15"/>
    <mergeCell ref="D15:F15"/>
    <mergeCell ref="D10:F10"/>
    <mergeCell ref="H10:I10"/>
    <mergeCell ref="D11:F11"/>
    <mergeCell ref="H11:I11"/>
    <mergeCell ref="D12:F12"/>
    <mergeCell ref="H12:I12"/>
    <mergeCell ref="D7:F7"/>
    <mergeCell ref="H7:I7"/>
    <mergeCell ref="D8:F8"/>
    <mergeCell ref="H8:I8"/>
    <mergeCell ref="D9:F9"/>
    <mergeCell ref="H9:I9"/>
    <mergeCell ref="B3:I3"/>
    <mergeCell ref="B4:I4"/>
    <mergeCell ref="D5:F5"/>
    <mergeCell ref="H5:I5"/>
    <mergeCell ref="D6:F6"/>
    <mergeCell ref="H6:I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2172-A8D1-4C42-AA9F-FFF3355A6C34}">
  <dimension ref="C3:R20"/>
  <sheetViews>
    <sheetView showGridLines="0" topLeftCell="B3" zoomScale="114" workbookViewId="0">
      <selection activeCell="I13" sqref="I13"/>
    </sheetView>
  </sheetViews>
  <sheetFormatPr baseColWidth="10" defaultRowHeight="15" x14ac:dyDescent="0.25"/>
  <cols>
    <col min="4" max="4" width="12.140625" customWidth="1"/>
    <col min="5" max="5" width="7.7109375" customWidth="1"/>
    <col min="7" max="7" width="4.7109375" customWidth="1"/>
    <col min="9" max="9" width="4.7109375" customWidth="1"/>
    <col min="11" max="11" width="4.7109375" customWidth="1"/>
    <col min="13" max="13" width="4.7109375" customWidth="1"/>
    <col min="14" max="14" width="14.5703125" customWidth="1"/>
    <col min="15" max="15" width="4.7109375" customWidth="1"/>
    <col min="16" max="16" width="11.42578125" customWidth="1"/>
    <col min="17" max="17" width="4.7109375" customWidth="1"/>
    <col min="18" max="18" width="11.42578125" customWidth="1"/>
  </cols>
  <sheetData>
    <row r="3" spans="3:18" x14ac:dyDescent="0.25">
      <c r="C3" s="1"/>
      <c r="D3" s="1"/>
      <c r="E3" s="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3:18" x14ac:dyDescent="0.25">
      <c r="C4" s="34" t="s">
        <v>37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3:18" x14ac:dyDescent="0.25">
      <c r="C5" s="37" t="s">
        <v>47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3:18" x14ac:dyDescent="0.25">
      <c r="C6" s="5"/>
      <c r="D6" s="5"/>
      <c r="E6" s="5"/>
      <c r="F6" s="6" t="s">
        <v>7</v>
      </c>
      <c r="G6" s="6"/>
      <c r="H6" s="35" t="s">
        <v>8</v>
      </c>
      <c r="I6" s="35"/>
      <c r="J6" s="35"/>
      <c r="K6" s="35"/>
      <c r="L6" s="35"/>
      <c r="M6" s="35"/>
      <c r="N6" s="35"/>
      <c r="O6" s="6"/>
    </row>
    <row r="7" spans="3:18" x14ac:dyDescent="0.25">
      <c r="C7" s="5"/>
      <c r="D7" s="5"/>
      <c r="E7" s="5"/>
      <c r="F7" s="6" t="s">
        <v>46</v>
      </c>
      <c r="G7" s="6"/>
      <c r="H7" s="6" t="s">
        <v>1</v>
      </c>
      <c r="I7" s="6"/>
      <c r="J7" s="6" t="s">
        <v>2</v>
      </c>
      <c r="K7" s="6"/>
      <c r="L7" s="6" t="s">
        <v>38</v>
      </c>
      <c r="M7" s="6"/>
      <c r="N7" s="6" t="s">
        <v>39</v>
      </c>
      <c r="O7" s="6"/>
      <c r="P7" s="35" t="s">
        <v>9</v>
      </c>
      <c r="Q7" s="35"/>
      <c r="R7" s="35"/>
    </row>
    <row r="8" spans="3:18" x14ac:dyDescent="0.25">
      <c r="C8" s="56" t="s">
        <v>45</v>
      </c>
      <c r="D8" s="56"/>
      <c r="E8" s="4"/>
      <c r="F8" s="7"/>
      <c r="G8" s="7"/>
      <c r="H8" s="3"/>
      <c r="I8" s="3"/>
      <c r="J8" s="7"/>
      <c r="K8" s="7"/>
      <c r="L8" s="7"/>
      <c r="M8" s="7"/>
      <c r="N8" s="7"/>
      <c r="O8" s="7"/>
      <c r="P8" s="7"/>
      <c r="Q8" s="7"/>
      <c r="R8" s="7"/>
    </row>
    <row r="9" spans="3:18" x14ac:dyDescent="0.25">
      <c r="C9" s="5"/>
      <c r="D9" s="5"/>
      <c r="E9" s="5"/>
      <c r="F9" s="6"/>
      <c r="G9" s="6"/>
      <c r="H9" s="10"/>
      <c r="I9" s="10"/>
      <c r="J9" s="6"/>
      <c r="K9" s="6"/>
      <c r="L9" s="6"/>
      <c r="M9" s="6"/>
      <c r="N9" s="6"/>
      <c r="O9" s="6"/>
      <c r="P9" s="6"/>
      <c r="Q9" s="6"/>
      <c r="R9" s="6"/>
    </row>
    <row r="10" spans="3:18" x14ac:dyDescent="0.25">
      <c r="C10" s="33" t="s">
        <v>0</v>
      </c>
      <c r="D10" s="33"/>
      <c r="E10" s="5"/>
      <c r="F10" s="6">
        <f>0.0416*100</f>
        <v>4.16</v>
      </c>
      <c r="G10" s="6"/>
      <c r="H10" s="6">
        <v>0.72936999999999996</v>
      </c>
      <c r="I10" s="10"/>
      <c r="J10" s="6">
        <v>2.5825999999999998</v>
      </c>
      <c r="K10" s="6"/>
      <c r="L10" s="18" t="s">
        <v>18</v>
      </c>
      <c r="M10" s="6"/>
      <c r="N10" s="18" t="s">
        <v>18</v>
      </c>
      <c r="O10" s="6"/>
      <c r="P10" s="9" t="s">
        <v>18</v>
      </c>
      <c r="Q10" s="6"/>
      <c r="R10" s="9" t="s">
        <v>18</v>
      </c>
    </row>
    <row r="11" spans="3:18" x14ac:dyDescent="0.25">
      <c r="C11" s="33" t="s">
        <v>40</v>
      </c>
      <c r="D11" s="33"/>
      <c r="E11" s="5"/>
      <c r="F11" s="9" t="s">
        <v>18</v>
      </c>
      <c r="G11" s="6"/>
      <c r="H11" s="18" t="s">
        <v>18</v>
      </c>
      <c r="I11" s="10"/>
      <c r="J11" s="18" t="s">
        <v>18</v>
      </c>
      <c r="K11" s="6"/>
      <c r="L11" s="6">
        <v>0.17669000000000001</v>
      </c>
      <c r="M11" s="6"/>
      <c r="N11" s="6">
        <v>0.96919999999999995</v>
      </c>
      <c r="O11" s="6"/>
      <c r="P11" s="6">
        <v>0.18231</v>
      </c>
      <c r="Q11" s="6"/>
      <c r="R11" s="6">
        <v>8.5925000000000001E-2</v>
      </c>
    </row>
    <row r="12" spans="3:18" x14ac:dyDescent="0.25">
      <c r="C12" s="33"/>
      <c r="D12" s="33"/>
      <c r="E12" s="5"/>
      <c r="F12" s="6"/>
      <c r="G12" s="6"/>
      <c r="H12" s="10"/>
      <c r="I12" s="10"/>
      <c r="J12" s="6"/>
      <c r="K12" s="6"/>
      <c r="L12" s="6"/>
      <c r="M12" s="6"/>
      <c r="N12" s="6"/>
      <c r="O12" s="6"/>
      <c r="P12" s="9"/>
      <c r="Q12" s="6"/>
      <c r="R12" s="9"/>
    </row>
    <row r="13" spans="3:18" x14ac:dyDescent="0.25">
      <c r="C13" s="36" t="s">
        <v>41</v>
      </c>
      <c r="D13" s="36"/>
      <c r="E13" s="5"/>
      <c r="F13" s="6"/>
      <c r="G13" s="6"/>
      <c r="H13" s="10"/>
      <c r="I13" s="10"/>
      <c r="J13" s="6"/>
      <c r="K13" s="6"/>
      <c r="L13" s="6"/>
      <c r="M13" s="6"/>
      <c r="N13" s="6"/>
      <c r="O13" s="6"/>
      <c r="P13" s="6"/>
      <c r="Q13" s="6"/>
      <c r="R13" s="6"/>
    </row>
    <row r="14" spans="3:18" x14ac:dyDescent="0.25">
      <c r="C14" s="33" t="s">
        <v>42</v>
      </c>
      <c r="D14" s="33"/>
      <c r="E14" s="5"/>
      <c r="F14" s="6">
        <f>1.0516*100</f>
        <v>105.16000000000001</v>
      </c>
      <c r="G14" s="6"/>
      <c r="H14" s="10">
        <f>0.7464/(F14/100)</f>
        <v>0.70977558006846697</v>
      </c>
      <c r="I14" s="10"/>
      <c r="J14" s="10">
        <f>0.344/(F14/100)</f>
        <v>0.32712057816660323</v>
      </c>
      <c r="K14" s="6"/>
      <c r="L14" s="10">
        <f>0.0514/(F14/100)</f>
        <v>4.8877900342335488E-2</v>
      </c>
      <c r="M14" s="6"/>
      <c r="N14" s="10">
        <f>5.6458/(F14/100)</f>
        <v>5.3687713959680483</v>
      </c>
      <c r="O14" s="6"/>
      <c r="P14" s="6">
        <f>L14/N14</f>
        <v>9.1041127918098409E-3</v>
      </c>
      <c r="Q14" s="6"/>
      <c r="R14" s="6">
        <v>0.2772</v>
      </c>
    </row>
    <row r="15" spans="3:18" x14ac:dyDescent="0.25">
      <c r="C15" s="33" t="s">
        <v>68</v>
      </c>
      <c r="D15" s="33"/>
      <c r="E15" s="5"/>
      <c r="F15" s="6">
        <v>2.3199999999999998</v>
      </c>
      <c r="G15" s="6"/>
      <c r="H15" s="10">
        <f>0.0093/(F15/100)</f>
        <v>0.40086206896551724</v>
      </c>
      <c r="I15" s="10"/>
      <c r="J15" s="10">
        <f>0.0049/(F15/100)</f>
        <v>0.21120689655172414</v>
      </c>
      <c r="K15" s="6"/>
      <c r="L15" s="10">
        <f>0.0098/(F15/100)</f>
        <v>0.42241379310344829</v>
      </c>
      <c r="M15" s="6"/>
      <c r="N15" s="10">
        <f>0.0364/(F15/100)</f>
        <v>1.5689655172413794</v>
      </c>
      <c r="O15" s="6"/>
      <c r="P15" s="6">
        <f>L15/N15</f>
        <v>0.26923076923076922</v>
      </c>
      <c r="Q15" s="6"/>
      <c r="R15" s="6">
        <v>-0.90700000000000003</v>
      </c>
    </row>
    <row r="16" spans="3:18" x14ac:dyDescent="0.25">
      <c r="C16" s="25" t="s">
        <v>43</v>
      </c>
      <c r="D16" s="25"/>
      <c r="E16" s="26"/>
      <c r="F16" s="27">
        <f>1.0906*100</f>
        <v>109.06</v>
      </c>
      <c r="G16" s="27"/>
      <c r="H16" s="28">
        <f>0.7596/(F16/100)</f>
        <v>0.69649734091325877</v>
      </c>
      <c r="I16" s="28"/>
      <c r="J16" s="28">
        <f>0.3644/(F16/100)</f>
        <v>0.33412800293416467</v>
      </c>
      <c r="K16" s="27"/>
      <c r="L16" s="28">
        <f>0.0826/(F16/100)</f>
        <v>7.5738125802310666E-2</v>
      </c>
      <c r="M16" s="27"/>
      <c r="N16" s="28">
        <f>5.7673/(F16/100)</f>
        <v>5.2881899871630296</v>
      </c>
      <c r="O16" s="27"/>
      <c r="P16" s="27">
        <f>L16/N16</f>
        <v>1.4322126471659183E-2</v>
      </c>
      <c r="Q16" s="27"/>
      <c r="R16" s="27">
        <v>-0.8075</v>
      </c>
    </row>
    <row r="17" spans="3:18" x14ac:dyDescent="0.25">
      <c r="C17" s="19"/>
      <c r="D17" s="19"/>
      <c r="E17" s="4"/>
      <c r="F17" s="7"/>
      <c r="G17" s="7"/>
      <c r="H17" s="3"/>
      <c r="I17" s="3"/>
      <c r="J17" s="3"/>
      <c r="K17" s="7"/>
      <c r="L17" s="3"/>
      <c r="M17" s="7"/>
      <c r="N17" s="3"/>
      <c r="O17" s="7"/>
      <c r="P17" s="7"/>
      <c r="Q17" s="7"/>
      <c r="R17" s="7"/>
    </row>
    <row r="18" spans="3:18" x14ac:dyDescent="0.25">
      <c r="C18" s="1" t="s">
        <v>20</v>
      </c>
      <c r="D18" s="1"/>
      <c r="E18" s="1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3:18" x14ac:dyDescent="0.25">
      <c r="C19" s="29" t="s">
        <v>69</v>
      </c>
    </row>
    <row r="20" spans="3:18" x14ac:dyDescent="0.25">
      <c r="C20" s="29" t="s">
        <v>70</v>
      </c>
    </row>
  </sheetData>
  <mergeCells count="11">
    <mergeCell ref="C4:R4"/>
    <mergeCell ref="C5:R5"/>
    <mergeCell ref="H6:N6"/>
    <mergeCell ref="P7:R7"/>
    <mergeCell ref="C10:D10"/>
    <mergeCell ref="C8:D8"/>
    <mergeCell ref="C11:D11"/>
    <mergeCell ref="C12:D12"/>
    <mergeCell ref="C13:D13"/>
    <mergeCell ref="C14:D14"/>
    <mergeCell ref="C15:D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Cálculo de SS</vt:lpstr>
      <vt:lpstr>Tabla 1</vt:lpstr>
      <vt:lpstr>Tabla 2</vt:lpstr>
      <vt:lpstr>Tabla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Josè Cotrina Lejabo</dc:creator>
  <cp:lastModifiedBy>Josè Cotrina Lejabo</cp:lastModifiedBy>
  <dcterms:created xsi:type="dcterms:W3CDTF">2024-11-13T17:10:44Z</dcterms:created>
  <dcterms:modified xsi:type="dcterms:W3CDTF">2024-11-24T18:52:39Z</dcterms:modified>
</cp:coreProperties>
</file>